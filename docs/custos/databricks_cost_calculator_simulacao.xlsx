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Simulacao_Calculadora" sheetId="2" state="visible" r:id="rId4"/>
    <sheet name="Cenarios_Comparativ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Premissa técnica: DBU/hora varia pelo tipo e tamanho exato da instância. Confirmar na calculadora oficial da Databricks.</t>
        </r>
      </text>
    </comment>
    <comment ref="D4" authorId="0">
      <text>
        <r>
          <rPr>
            <sz val="10"/>
            <rFont val="Arial"/>
            <family val="2"/>
          </rPr>
          <t xml:space="preserve">Premissa técnica: DBU/hora varia pelo tipo e tamanho exato da instância. Confirmar na calculadora oficial da Databricks.</t>
        </r>
      </text>
    </comment>
    <comment ref="D5" authorId="0">
      <text>
        <r>
          <rPr>
            <sz val="10"/>
            <rFont val="Arial"/>
            <family val="2"/>
          </rPr>
          <t xml:space="preserve">Premissa técnica: DBU/hora varia pelo tipo e tamanho exato da instância. Confirmar na calculadora oficial da Databricks.</t>
        </r>
      </text>
    </comment>
    <comment ref="D6" authorId="0">
      <text>
        <r>
          <rPr>
            <sz val="10"/>
            <rFont val="Arial"/>
            <family val="2"/>
          </rPr>
          <t xml:space="preserve">Premissa técnica: DBU/hora varia pelo tipo e tamanho exato da instância. Confirmar na calculadora oficial da Databricks.</t>
        </r>
      </text>
    </comment>
    <comment ref="D7" authorId="0">
      <text>
        <r>
          <rPr>
            <sz val="10"/>
            <rFont val="Arial"/>
            <family val="2"/>
          </rPr>
          <t xml:space="preserve">Premissa técnica: DBU/hora varia pelo tipo e tamanho exato da instância. Confirmar na calculadora oficial da Databricks.</t>
        </r>
      </text>
    </comment>
    <comment ref="E3" authorId="0">
      <text>
        <r>
          <rPr>
            <sz val="10"/>
            <rFont val="Arial"/>
            <family val="2"/>
          </rPr>
          <t xml:space="preserve">Fonte: Databricks Pricing Calculator (Azure, Premium), consultado em 30/07/2026.</t>
        </r>
      </text>
    </comment>
    <comment ref="E4" authorId="0">
      <text>
        <r>
          <rPr>
            <sz val="10"/>
            <rFont val="Arial"/>
            <family val="2"/>
          </rPr>
          <t xml:space="preserve">Fonte: Databricks Pricing Calculator (Azure, Premium), consultado em 30/07/2026.</t>
        </r>
      </text>
    </comment>
    <comment ref="E5" authorId="0">
      <text>
        <r>
          <rPr>
            <sz val="10"/>
            <rFont val="Arial"/>
            <family val="2"/>
          </rPr>
          <t xml:space="preserve">Fonte: Databricks Pricing Calculator (Azure, Premium), consultado em 30/07/2026.</t>
        </r>
      </text>
    </comment>
    <comment ref="E6" authorId="0">
      <text>
        <r>
          <rPr>
            <sz val="10"/>
            <rFont val="Arial"/>
            <family val="2"/>
          </rPr>
          <t xml:space="preserve">Fonte: Databricks Pricing Calculator (Azure, Premium), consultado em 30/07/2026.</t>
        </r>
      </text>
    </comment>
    <comment ref="E7" authorId="0">
      <text>
        <r>
          <rPr>
            <sz val="10"/>
            <rFont val="Arial"/>
            <family val="2"/>
          </rPr>
          <t xml:space="preserve">Fonte: Databricks Pricing Calculator (Azure, Premium), consultado em 30/07/2026.</t>
        </r>
      </text>
    </comment>
  </commentList>
</comments>
</file>

<file path=xl/sharedStrings.xml><?xml version="1.0" encoding="utf-8"?>
<sst xmlns="http://schemas.openxmlformats.org/spreadsheetml/2006/main" count="66" uniqueCount="55">
  <si>
    <t xml:space="preserve">Simulação — Databricks Pricing Calculator</t>
  </si>
  <si>
    <t xml:space="preserve">Pulse Health Platform (POC) — cenário hipotético de produção</t>
  </si>
  <si>
    <t xml:space="preserve">Plano (tier)</t>
  </si>
  <si>
    <t xml:space="preserve">Premium</t>
  </si>
  <si>
    <t xml:space="preserve">Cloud</t>
  </si>
  <si>
    <t xml:space="preserve">Azure</t>
  </si>
  <si>
    <t xml:space="preserve">Moeda</t>
  </si>
  <si>
    <t xml:space="preserve">USD</t>
  </si>
  <si>
    <t xml:space="preserve">Data da consulta de preço</t>
  </si>
  <si>
    <t xml:space="preserve">30/07/2026</t>
  </si>
  <si>
    <t xml:space="preserve">Fonte oficial</t>
  </si>
  <si>
    <t xml:space="preserve">https://www.databricks.com/product/pricing/product-pricing/instance-types</t>
  </si>
  <si>
    <t xml:space="preserve">Nº de pipelines simulados</t>
  </si>
  <si>
    <t xml:space="preserve">Execuções por pipeline / mês (job diário)</t>
  </si>
  <si>
    <t xml:space="preserve">Duração média — job de ingestão (Autoloader)</t>
  </si>
  <si>
    <t xml:space="preserve">0,10 h (6 min) — premissa</t>
  </si>
  <si>
    <t xml:space="preserve">Duração média — job de transformação (MERGE Silver/Gold)</t>
  </si>
  <si>
    <t xml:space="preserve">0,25 h (15 min) — premissa</t>
  </si>
  <si>
    <t xml:space="preserve">SQL Warehouse ligado (AI/BI Dashboards + Genie)</t>
  </si>
  <si>
    <t xml:space="preserve">2 h/dia x 30 dias = 60 h/mês — premissa</t>
  </si>
  <si>
    <t xml:space="preserve">Ressalva metodológica</t>
  </si>
  <si>
    <t xml:space="preserve">Os preços por DBU abaixo (US$/DBU) foram consultados na calculadora oficial da Databricks na data acima e são valores publicados de lista (list price), sujeitos a mudança por região, moeda e tipo de contrato. Já o consumo de DBU por hora de cada tipo/tamanho de cluster (quantas DBUs uma instância específica consome por hora) NÃO foi inventado — é uma premissa técnica simplificada, sinalizada em amarelo, que precisa ser confirmada na calculadora oficial escolhendo o tipo exato de instância antes de qualquer decisão real de orçamento.</t>
  </si>
  <si>
    <t xml:space="preserve">Workload</t>
  </si>
  <si>
    <t xml:space="preserve">Compute type (calculadora)</t>
  </si>
  <si>
    <t xml:space="preserve">Tier</t>
  </si>
  <si>
    <t xml:space="preserve">DBU/h do cluster (premissa)</t>
  </si>
  <si>
    <t xml:space="preserve">Preço por DBU (USD)</t>
  </si>
  <si>
    <t xml:space="preserve">Horas de uso / mês</t>
  </si>
  <si>
    <t xml:space="preserve">DBUs consumidas / mês</t>
  </si>
  <si>
    <t xml:space="preserve">Custo mensal (USD)</t>
  </si>
  <si>
    <t xml:space="preserve">Ingestão — Autoloader (4 pipelines, Landing→Bronze)</t>
  </si>
  <si>
    <t xml:space="preserve">Lakeflow Jobs Classic</t>
  </si>
  <si>
    <t xml:space="preserve">Transformação — MERGE Bronze→Silver→Gold (4 pipelines)</t>
  </si>
  <si>
    <t xml:space="preserve">AI/BI Dashboards + Genie (SQL Warehouse 2X-Small)</t>
  </si>
  <si>
    <t xml:space="preserve">SQL Compute</t>
  </si>
  <si>
    <t xml:space="preserve">Job mensal — fechamento (ADR-006)</t>
  </si>
  <si>
    <t xml:space="preserve">Job de limpeza — retenção Landing Zone (ADR-009)</t>
  </si>
  <si>
    <t xml:space="preserve">Total mensal (USD)</t>
  </si>
  <si>
    <t xml:space="preserve">Total anual (USD)</t>
  </si>
  <si>
    <t xml:space="preserve">Componente</t>
  </si>
  <si>
    <t xml:space="preserve">Econômico</t>
  </si>
  <si>
    <t xml:space="preserve">Balanceado</t>
  </si>
  <si>
    <t xml:space="preserve">Alta performance</t>
  </si>
  <si>
    <t xml:space="preserve">Compute type selecionado</t>
  </si>
  <si>
    <t xml:space="preserve">Lakeflow Jobs Serverless</t>
  </si>
  <si>
    <t xml:space="preserve">Lakeflow Jobs Serverless + Photon</t>
  </si>
  <si>
    <t xml:space="preserve">Databricks (DBU) — ingestão</t>
  </si>
  <si>
    <t xml:space="preserve">Databricks (DBU) — transformação</t>
  </si>
  <si>
    <t xml:space="preserve">Databricks (DBU) — SQL/Dashboards</t>
  </si>
  <si>
    <t xml:space="preserve">O que se perde / ganha</t>
  </si>
  <si>
    <t xml:space="preserve">Menor custo. Cluster mínimo, sem Photon, maior tempo de execução, maior risco de fila em picos.</t>
  </si>
  <si>
    <t xml:space="preserve">Serverless remove gestão de cluster e reduz tempo de start-up. Recomendação padrão para a Fase 1 (POC).</t>
  </si>
  <si>
    <t xml:space="preserve">Photon + warehouse maior reduz latência de dashboards/Genie, mas dobra o consumo de DBU por hora.</t>
  </si>
  <si>
    <t xml:space="preserve">Nota</t>
  </si>
  <si>
    <t xml:space="preserve">Job mensal (ADR-006) e Job de limpeza da Landing Zone (ADR-009) têm custo residual e não variam por cenário de compute — são tratados uma única vez na aba Simulacao_Calculadora, não duplicados aqui para não inflar a comparação.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</si>
</sst>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7"/>
        <bgColor rgb="FF444444"/>
      </patternFill>
    </fill>
    <fill>
      <patternFill patternType="solid">
        <fgColor rgb="FFFFF2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7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n">
        <v>4</v>
      </c>
    </row>
    <row r="10" customFormat="false" ht="15" hidden="false" customHeight="false" outlineLevel="0" collapsed="false">
      <c r="A10" s="3" t="s">
        <v>13</v>
      </c>
      <c r="B10" s="4" t="n">
        <v>30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5" customFormat="false" ht="15" hidden="false" customHeight="false" outlineLevel="0" collapsed="false">
      <c r="A15" s="5" t="s">
        <v>20</v>
      </c>
    </row>
    <row r="16" customFormat="false" ht="15" hidden="false" customHeight="true" outlineLevel="0" collapsed="false">
      <c r="A16" s="6" t="s">
        <v>21</v>
      </c>
      <c r="B16" s="6"/>
      <c r="C16" s="6"/>
      <c r="D16" s="6"/>
    </row>
    <row r="17" customFormat="false" ht="15" hidden="false" customHeight="false" outlineLevel="0" collapsed="false">
      <c r="A17" s="6"/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</sheetData>
  <mergeCells count="1">
    <mergeCell ref="A16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2" customFormat="false" ht="39.55" hidden="false" customHeight="false" outlineLevel="0" collapsed="false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</row>
    <row r="3" customFormat="false" ht="15" hidden="false" customHeight="false" outlineLevel="0" collapsed="false">
      <c r="A3" s="8" t="s">
        <v>30</v>
      </c>
      <c r="B3" s="8" t="s">
        <v>31</v>
      </c>
      <c r="C3" s="8" t="s">
        <v>3</v>
      </c>
      <c r="D3" s="9" t="n">
        <v>1</v>
      </c>
      <c r="E3" s="10" t="n">
        <v>0.15</v>
      </c>
      <c r="F3" s="11" t="n">
        <v>12</v>
      </c>
      <c r="G3" s="12" t="n">
        <f aca="false">D3*F3</f>
        <v>12</v>
      </c>
      <c r="H3" s="13" t="n">
        <f aca="false">G3*E3</f>
        <v>1.8</v>
      </c>
    </row>
    <row r="4" customFormat="false" ht="15" hidden="false" customHeight="false" outlineLevel="0" collapsed="false">
      <c r="A4" s="8" t="s">
        <v>32</v>
      </c>
      <c r="B4" s="8" t="s">
        <v>31</v>
      </c>
      <c r="C4" s="8" t="s">
        <v>3</v>
      </c>
      <c r="D4" s="9" t="n">
        <v>1</v>
      </c>
      <c r="E4" s="10" t="n">
        <v>0.15</v>
      </c>
      <c r="F4" s="11" t="n">
        <v>30</v>
      </c>
      <c r="G4" s="12" t="n">
        <f aca="false">D4*F4</f>
        <v>30</v>
      </c>
      <c r="H4" s="13" t="n">
        <f aca="false">G4*E4</f>
        <v>4.5</v>
      </c>
    </row>
    <row r="5" customFormat="false" ht="15" hidden="false" customHeight="false" outlineLevel="0" collapsed="false">
      <c r="A5" s="8" t="s">
        <v>33</v>
      </c>
      <c r="B5" s="8" t="s">
        <v>34</v>
      </c>
      <c r="C5" s="8" t="s">
        <v>3</v>
      </c>
      <c r="D5" s="9" t="n">
        <v>4</v>
      </c>
      <c r="E5" s="10" t="n">
        <v>0.22</v>
      </c>
      <c r="F5" s="11" t="n">
        <v>60</v>
      </c>
      <c r="G5" s="12" t="n">
        <f aca="false">D5*F5</f>
        <v>240</v>
      </c>
      <c r="H5" s="13" t="n">
        <f aca="false">G5*E5</f>
        <v>52.8</v>
      </c>
    </row>
    <row r="6" customFormat="false" ht="15" hidden="false" customHeight="false" outlineLevel="0" collapsed="false">
      <c r="A6" s="8" t="s">
        <v>35</v>
      </c>
      <c r="B6" s="8" t="s">
        <v>31</v>
      </c>
      <c r="C6" s="8" t="s">
        <v>3</v>
      </c>
      <c r="D6" s="9" t="n">
        <v>1</v>
      </c>
      <c r="E6" s="10" t="n">
        <v>0.15</v>
      </c>
      <c r="F6" s="11" t="n">
        <v>0.05</v>
      </c>
      <c r="G6" s="12" t="n">
        <f aca="false">D6*F6</f>
        <v>0.05</v>
      </c>
      <c r="H6" s="13" t="n">
        <f aca="false">G6*E6</f>
        <v>0.0075</v>
      </c>
    </row>
    <row r="7" customFormat="false" ht="15" hidden="false" customHeight="false" outlineLevel="0" collapsed="false">
      <c r="A7" s="8" t="s">
        <v>36</v>
      </c>
      <c r="B7" s="8" t="s">
        <v>31</v>
      </c>
      <c r="C7" s="8" t="s">
        <v>3</v>
      </c>
      <c r="D7" s="9" t="n">
        <v>1</v>
      </c>
      <c r="E7" s="10" t="n">
        <v>0.15</v>
      </c>
      <c r="F7" s="11" t="n">
        <v>1.5</v>
      </c>
      <c r="G7" s="12" t="n">
        <f aca="false">D7*F7</f>
        <v>1.5</v>
      </c>
      <c r="H7" s="13" t="n">
        <f aca="false">G7*E7</f>
        <v>0.225</v>
      </c>
    </row>
    <row r="9" customFormat="false" ht="15" hidden="false" customHeight="false" outlineLevel="0" collapsed="false">
      <c r="A9" s="14" t="s">
        <v>37</v>
      </c>
      <c r="H9" s="15" t="n">
        <f aca="false">SUM(H3:H7)</f>
        <v>59.3325</v>
      </c>
    </row>
    <row r="10" customFormat="false" ht="15" hidden="false" customHeight="false" outlineLevel="0" collapsed="false">
      <c r="A10" s="14" t="s">
        <v>38</v>
      </c>
      <c r="H10" s="15" t="n">
        <f aca="false">H9*12</f>
        <v>711.99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</cols>
  <sheetData>
    <row r="2" customFormat="false" ht="1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</row>
    <row r="3" customFormat="false" ht="23.85" hidden="false" customHeight="false" outlineLevel="0" collapsed="false">
      <c r="A3" s="8" t="s">
        <v>43</v>
      </c>
      <c r="B3" s="16" t="s">
        <v>31</v>
      </c>
      <c r="C3" s="16" t="s">
        <v>44</v>
      </c>
      <c r="D3" s="16" t="s">
        <v>45</v>
      </c>
    </row>
    <row r="4" customFormat="false" ht="15" hidden="false" customHeight="false" outlineLevel="0" collapsed="false">
      <c r="A4" s="3" t="s">
        <v>46</v>
      </c>
      <c r="B4" s="13" t="n">
        <f aca="false">1*12*0.15</f>
        <v>1.8</v>
      </c>
      <c r="C4" s="13" t="n">
        <f aca="false">1*12*0.4</f>
        <v>4.8</v>
      </c>
      <c r="D4" s="13" t="n">
        <f aca="false">2*12*0.4</f>
        <v>9.6</v>
      </c>
    </row>
    <row r="5" customFormat="false" ht="15" hidden="false" customHeight="false" outlineLevel="0" collapsed="false">
      <c r="A5" s="3" t="s">
        <v>47</v>
      </c>
      <c r="B5" s="13" t="n">
        <f aca="false">1*30*0.15</f>
        <v>4.5</v>
      </c>
      <c r="C5" s="13" t="n">
        <f aca="false">1*30*0.4</f>
        <v>12</v>
      </c>
      <c r="D5" s="13" t="n">
        <f aca="false">2*30*0.4</f>
        <v>24</v>
      </c>
    </row>
    <row r="6" customFormat="false" ht="15" hidden="false" customHeight="false" outlineLevel="0" collapsed="false">
      <c r="A6" s="3" t="s">
        <v>48</v>
      </c>
      <c r="B6" s="13" t="n">
        <f aca="false">4*40*0.22</f>
        <v>35.2</v>
      </c>
      <c r="C6" s="13" t="n">
        <f aca="false">4*60*0.22</f>
        <v>52.8</v>
      </c>
      <c r="D6" s="13" t="n">
        <f aca="false">12*90*0.22</f>
        <v>237.6</v>
      </c>
    </row>
    <row r="7" customFormat="false" ht="15" hidden="false" customHeight="false" outlineLevel="0" collapsed="false">
      <c r="A7" s="14" t="s">
        <v>37</v>
      </c>
      <c r="B7" s="17" t="n">
        <f aca="false">SUM(B4:B6)</f>
        <v>41.5</v>
      </c>
      <c r="C7" s="17" t="n">
        <f aca="false">SUM(C4:C6)</f>
        <v>69.6</v>
      </c>
      <c r="D7" s="17" t="n">
        <f aca="false">SUM(D4:D6)</f>
        <v>271.2</v>
      </c>
    </row>
    <row r="8" customFormat="false" ht="15" hidden="false" customHeight="false" outlineLevel="0" collapsed="false">
      <c r="A8" s="14" t="s">
        <v>38</v>
      </c>
      <c r="B8" s="17" t="n">
        <f aca="false">B7*12</f>
        <v>498</v>
      </c>
      <c r="C8" s="17" t="n">
        <f aca="false">C7*12</f>
        <v>835.2</v>
      </c>
      <c r="D8" s="17" t="n">
        <f aca="false">D7*12</f>
        <v>3254.4</v>
      </c>
    </row>
    <row r="10" customFormat="false" ht="60" hidden="false" customHeight="true" outlineLevel="0" collapsed="false">
      <c r="A10" s="14" t="s">
        <v>49</v>
      </c>
      <c r="B10" s="18" t="s">
        <v>50</v>
      </c>
      <c r="C10" s="18" t="s">
        <v>51</v>
      </c>
      <c r="D10" s="18" t="s">
        <v>52</v>
      </c>
    </row>
    <row r="12" customFormat="false" ht="15" hidden="false" customHeight="false" outlineLevel="0" collapsed="false">
      <c r="A12" s="14" t="s">
        <v>53</v>
      </c>
    </row>
    <row r="13" customFormat="false" ht="15" hidden="false" customHeight="true" outlineLevel="0" collapsed="false">
      <c r="A13" s="6" t="s">
        <v>54</v>
      </c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</sheetData>
  <mergeCells count="1">
    <mergeCell ref="A13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2026-08-04T13:17:18Z</dcterms:created>
  <dc:creator>openpyxl</dc:creator>
  <dc:description/>
  <dc:language>en-US</dc:language>
  <cp:lastModifiedBy/>
  <dcterms:modified xsi:type="dcterms:W3CDTF">2026-08-04T13:17:18Z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