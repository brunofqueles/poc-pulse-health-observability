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Simulacao_Calculadora_Azure" sheetId="2" state="visible" r:id="rId4"/>
    <sheet name="Cenarios_Comparativos_Azu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Referência de mercado — confirmar na calculadora oficial da Azure antes de decisão real.</t>
        </r>
      </text>
    </comment>
    <comment ref="F4" authorId="0">
      <text>
        <r>
          <rPr>
            <sz val="10"/>
            <rFont val="Arial"/>
            <family val="2"/>
          </rPr>
          <t xml:space="preserve">Referência de mercado — confirmar na calculadora oficial da Azure antes de decisão real.</t>
        </r>
      </text>
    </comment>
    <comment ref="F5" authorId="0">
      <text>
        <r>
          <rPr>
            <sz val="10"/>
            <rFont val="Arial"/>
            <family val="2"/>
          </rPr>
          <t xml:space="preserve">Referência de mercado — confirmar na calculadora oficial da Azure antes de decisão real.</t>
        </r>
      </text>
    </comment>
    <comment ref="F6" authorId="0">
      <text>
        <r>
          <rPr>
            <sz val="10"/>
            <rFont val="Arial"/>
            <family val="2"/>
          </rPr>
          <t xml:space="preserve">Referência de mercado — confirmar na calculadora oficial da Azure antes de decisão real.</t>
        </r>
      </text>
    </comment>
  </commentList>
</comments>
</file>

<file path=xl/sharedStrings.xml><?xml version="1.0" encoding="utf-8"?>
<sst xmlns="http://schemas.openxmlformats.org/spreadsheetml/2006/main" count="75" uniqueCount="62">
  <si>
    <t xml:space="preserve">Simulação — Azure Pricing Calculator (infraestrutura)</t>
  </si>
  <si>
    <t xml:space="preserve">Pulse Health Platform (POC) — cenário hipotético de produção hospedado no Azure</t>
  </si>
  <si>
    <t xml:space="preserve">Região de referência</t>
  </si>
  <si>
    <t xml:space="preserve">East US (referência mais comum em blogs/calculadora; Brazil South pode ter preço diferente)</t>
  </si>
  <si>
    <t xml:space="preserve">Moeda</t>
  </si>
  <si>
    <t xml:space="preserve">USD</t>
  </si>
  <si>
    <t xml:space="preserve">Redundância</t>
  </si>
  <si>
    <t xml:space="preserve">LRS (Locally Redundant Storage)</t>
  </si>
  <si>
    <t xml:space="preserve">Data da consulta de preço</t>
  </si>
  <si>
    <t xml:space="preserve">30/07/2026</t>
  </si>
  <si>
    <t xml:space="preserve">VM de referência (cenário Econômico, compute clássico)</t>
  </si>
  <si>
    <t xml:space="preserve">Standard_D4s_v3</t>
  </si>
  <si>
    <t xml:space="preserve">Crescimento de dados assumido (Landing + Bronze + Silver + Gold)</t>
  </si>
  <si>
    <t xml:space="preserve">~2 GB/mês acumulado — premissa de POC, não produção real</t>
  </si>
  <si>
    <t xml:space="preserve">Volume acumulado após 12 meses (premissa)</t>
  </si>
  <si>
    <t xml:space="preserve">~24 GB</t>
  </si>
  <si>
    <t xml:space="preserve">Ressalva metodológica</t>
  </si>
  <si>
    <t xml:space="preserve">Os preços unitários abaixo (VM/hora, GB/mês, transações/10k) foram obtidos de fontes que referenciam o rate card oficial da Azure, não da calculadora oficial diretamente — estão sinalizados como 'referência a confirmar'. Preço de nuvem varia por região, moeda e tipo de contrato (pay-as-you-go, reserva, EA/MCA). Confirme os valores finais na calculadora oficial da Azure (azure.microsoft.com/pricing/calculator) antes de qualquer decisão de orçamento real.</t>
  </si>
  <si>
    <t xml:space="preserve">Recurso</t>
  </si>
  <si>
    <t xml:space="preserve">SKU / Tier</t>
  </si>
  <si>
    <t xml:space="preserve">Região</t>
  </si>
  <si>
    <t xml:space="preserve">Quantidade</t>
  </si>
  <si>
    <t xml:space="preserve">Unidade</t>
  </si>
  <si>
    <t xml:space="preserve">Preço unitário (USD)</t>
  </si>
  <si>
    <t xml:space="preserve">Custo mensal (USD)</t>
  </si>
  <si>
    <t xml:space="preserve">Observação</t>
  </si>
  <si>
    <t xml:space="preserve">VM — Jobs Compute clássico (cenário Econômico)</t>
  </si>
  <si>
    <t xml:space="preserve">East US</t>
  </si>
  <si>
    <t xml:space="preserve">hora</t>
  </si>
  <si>
    <t xml:space="preserve">Só se aplica ao cenário Econômico (compute clássico). Em Serverless o custo de VM já está embutido na tarifa DBU — não há bill separado de VM Azure.</t>
  </si>
  <si>
    <t xml:space="preserve">Armazenamento ADLS Gen2 (Hot, LRS)</t>
  </si>
  <si>
    <t xml:space="preserve">Hot Tier</t>
  </si>
  <si>
    <t xml:space="preserve">GB/mês</t>
  </si>
  <si>
    <t xml:space="preserve">Volume acumulado após 12 meses de operação (premissa de POC).</t>
  </si>
  <si>
    <t xml:space="preserve">Transações de escrita (ingestão diária)</t>
  </si>
  <si>
    <t xml:space="preserve">10k ops</t>
  </si>
  <si>
    <t xml:space="preserve">Premissa: ~120 mil escritas/mês somando os 4 pipelines.</t>
  </si>
  <si>
    <t xml:space="preserve">Transações de leitura (consultas/dashboards)</t>
  </si>
  <si>
    <t xml:space="preserve">Premissa: ~500 mil leituras/mês (Autoloader + AI/BI Dashboards + Genie).</t>
  </si>
  <si>
    <t xml:space="preserve">Rede / egress</t>
  </si>
  <si>
    <t xml:space="preserve">—</t>
  </si>
  <si>
    <t xml:space="preserve">GB</t>
  </si>
  <si>
    <t xml:space="preserve">POC single-region, sem tráfego externo relevante — item mais esquecido em produção real, incluído aqui como $0 explícito, não omitido.</t>
  </si>
  <si>
    <t xml:space="preserve">Azure Key Vault (secrets)</t>
  </si>
  <si>
    <t xml:space="preserve">Standard</t>
  </si>
  <si>
    <t xml:space="preserve">Volume de operações da POC é negligível frente ao free tier de operações.</t>
  </si>
  <si>
    <t xml:space="preserve">Monitoramento (Azure Monitor / Log Analytics)</t>
  </si>
  <si>
    <t xml:space="preserve">Não utilizado</t>
  </si>
  <si>
    <t xml:space="preserve">GB ingerido</t>
  </si>
  <si>
    <t xml:space="preserve">Observabilidade vive nativamente em Databricks (pulse.observability) — não duplicada em Azure Monitor.</t>
  </si>
  <si>
    <t xml:space="preserve">Total mensal (USD)</t>
  </si>
  <si>
    <t xml:space="preserve">Total anual (USD)</t>
  </si>
  <si>
    <t xml:space="preserve">Componente (Azure)</t>
  </si>
  <si>
    <t xml:space="preserve">Econômico</t>
  </si>
  <si>
    <t xml:space="preserve">Balanceado</t>
  </si>
  <si>
    <t xml:space="preserve">Alta performance</t>
  </si>
  <si>
    <t xml:space="preserve">VM (Jobs Compute clássico)</t>
  </si>
  <si>
    <t xml:space="preserve">Armazenamento ADLS Gen2</t>
  </si>
  <si>
    <t xml:space="preserve">Transações (leitura + escrita)</t>
  </si>
  <si>
    <t xml:space="preserve">Rede / Monitoramento / Key Vault</t>
  </si>
  <si>
    <t xml:space="preserve">Nota conceitual</t>
  </si>
  <si>
    <t xml:space="preserve">Em Balanceado e Alta performance o custo de VM Azure aparece como $0 de propósito — nesses cenários o compute é Jobs Serverless, que embute o custo de infraestrutura na própria tarifa de DBU cobrada pela Databricks (ver arquivo databricks_cost_calculator_simulacao.xlsx). Somar VM Azure + DBU Serverless para o mesmo workload seria contar o mesmo custo duas vezes.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</si>
</sst>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00"/>
    <numFmt numFmtId="166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B00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3A57"/>
        <bgColor rgb="FF444444"/>
      </patternFill>
    </fill>
    <fill>
      <patternFill patternType="solid">
        <fgColor rgb="FFFFF2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7"/>
      <rgbColor rgb="FF339966"/>
      <rgbColor rgb="FF003300"/>
      <rgbColor rgb="FF333300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5" t="s">
        <v>16</v>
      </c>
    </row>
    <row r="13" customFormat="false" ht="15" hidden="false" customHeight="true" outlineLevel="0" collapsed="false">
      <c r="A13" s="6" t="s">
        <v>17</v>
      </c>
      <c r="B13" s="6"/>
      <c r="C13" s="6"/>
      <c r="D13" s="6"/>
    </row>
    <row r="14" customFormat="false" ht="15" hidden="false" customHeight="false" outlineLevel="0" collapsed="false">
      <c r="A14" s="6"/>
      <c r="B14" s="6"/>
      <c r="C14" s="6"/>
      <c r="D14" s="6"/>
    </row>
    <row r="15" customFormat="false" ht="15" hidden="false" customHeight="false" outlineLevel="0" collapsed="false">
      <c r="A15" s="6"/>
      <c r="B15" s="6"/>
      <c r="C15" s="6"/>
      <c r="D15" s="6"/>
    </row>
    <row r="16" customFormat="false" ht="15" hidden="false" customHeight="false" outlineLevel="0" collapsed="false">
      <c r="A16" s="6"/>
      <c r="B16" s="6"/>
      <c r="C16" s="6"/>
      <c r="D16" s="6"/>
    </row>
  </sheetData>
  <mergeCells count="1">
    <mergeCell ref="A13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40"/>
  </cols>
  <sheetData>
    <row r="2" customFormat="false" ht="26.85" hidden="false" customHeight="false" outlineLevel="0" collapsed="false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</row>
    <row r="3" customFormat="false" ht="30" hidden="false" customHeight="true" outlineLevel="0" collapsed="false">
      <c r="A3" s="8" t="s">
        <v>26</v>
      </c>
      <c r="B3" s="8" t="s">
        <v>11</v>
      </c>
      <c r="C3" s="8" t="s">
        <v>27</v>
      </c>
      <c r="D3" s="9" t="n">
        <v>42</v>
      </c>
      <c r="E3" s="8" t="s">
        <v>28</v>
      </c>
      <c r="F3" s="10" t="n">
        <v>0.564</v>
      </c>
      <c r="G3" s="11" t="n">
        <f aca="false">D3*F3</f>
        <v>23.688</v>
      </c>
      <c r="H3" s="12" t="s">
        <v>29</v>
      </c>
    </row>
    <row r="4" customFormat="false" ht="30" hidden="false" customHeight="true" outlineLevel="0" collapsed="false">
      <c r="A4" s="8" t="s">
        <v>30</v>
      </c>
      <c r="B4" s="8" t="s">
        <v>31</v>
      </c>
      <c r="C4" s="8" t="s">
        <v>27</v>
      </c>
      <c r="D4" s="9" t="n">
        <v>24</v>
      </c>
      <c r="E4" s="8" t="s">
        <v>32</v>
      </c>
      <c r="F4" s="10" t="n">
        <v>0.021</v>
      </c>
      <c r="G4" s="11" t="n">
        <f aca="false">D4*F4</f>
        <v>0.504</v>
      </c>
      <c r="H4" s="12" t="s">
        <v>33</v>
      </c>
    </row>
    <row r="5" customFormat="false" ht="30" hidden="false" customHeight="true" outlineLevel="0" collapsed="false">
      <c r="A5" s="8" t="s">
        <v>34</v>
      </c>
      <c r="B5" s="8" t="s">
        <v>31</v>
      </c>
      <c r="C5" s="8" t="s">
        <v>27</v>
      </c>
      <c r="D5" s="9" t="n">
        <v>12</v>
      </c>
      <c r="E5" s="8" t="s">
        <v>35</v>
      </c>
      <c r="F5" s="10" t="n">
        <v>0.065</v>
      </c>
      <c r="G5" s="11" t="n">
        <f aca="false">D5*F5</f>
        <v>0.78</v>
      </c>
      <c r="H5" s="12" t="s">
        <v>36</v>
      </c>
    </row>
    <row r="6" customFormat="false" ht="30" hidden="false" customHeight="true" outlineLevel="0" collapsed="false">
      <c r="A6" s="8" t="s">
        <v>37</v>
      </c>
      <c r="B6" s="8" t="s">
        <v>31</v>
      </c>
      <c r="C6" s="8" t="s">
        <v>27</v>
      </c>
      <c r="D6" s="9" t="n">
        <v>50</v>
      </c>
      <c r="E6" s="8" t="s">
        <v>35</v>
      </c>
      <c r="F6" s="10" t="n">
        <v>0.0052</v>
      </c>
      <c r="G6" s="11" t="n">
        <f aca="false">D6*F6</f>
        <v>0.26</v>
      </c>
      <c r="H6" s="12" t="s">
        <v>38</v>
      </c>
    </row>
    <row r="7" customFormat="false" ht="30" hidden="false" customHeight="true" outlineLevel="0" collapsed="false">
      <c r="A7" s="8" t="s">
        <v>39</v>
      </c>
      <c r="B7" s="8" t="s">
        <v>40</v>
      </c>
      <c r="C7" s="8" t="s">
        <v>27</v>
      </c>
      <c r="D7" s="13" t="n">
        <v>0</v>
      </c>
      <c r="E7" s="8" t="s">
        <v>41</v>
      </c>
      <c r="F7" s="10" t="n">
        <v>0</v>
      </c>
      <c r="G7" s="11" t="n">
        <f aca="false">D7*F7</f>
        <v>0</v>
      </c>
      <c r="H7" s="12" t="s">
        <v>42</v>
      </c>
    </row>
    <row r="8" customFormat="false" ht="30" hidden="false" customHeight="true" outlineLevel="0" collapsed="false">
      <c r="A8" s="8" t="s">
        <v>43</v>
      </c>
      <c r="B8" s="8" t="s">
        <v>44</v>
      </c>
      <c r="C8" s="8" t="s">
        <v>27</v>
      </c>
      <c r="D8" s="13" t="n">
        <v>0</v>
      </c>
      <c r="E8" s="8" t="s">
        <v>35</v>
      </c>
      <c r="F8" s="10" t="n">
        <v>0</v>
      </c>
      <c r="G8" s="11" t="n">
        <f aca="false">D8*F8</f>
        <v>0</v>
      </c>
      <c r="H8" s="12" t="s">
        <v>45</v>
      </c>
    </row>
    <row r="9" customFormat="false" ht="30" hidden="false" customHeight="true" outlineLevel="0" collapsed="false">
      <c r="A9" s="8" t="s">
        <v>46</v>
      </c>
      <c r="B9" s="8" t="s">
        <v>47</v>
      </c>
      <c r="C9" s="8" t="s">
        <v>40</v>
      </c>
      <c r="D9" s="13" t="n">
        <v>0</v>
      </c>
      <c r="E9" s="8" t="s">
        <v>48</v>
      </c>
      <c r="F9" s="10" t="n">
        <v>0</v>
      </c>
      <c r="G9" s="11" t="n">
        <f aca="false">D9*F9</f>
        <v>0</v>
      </c>
      <c r="H9" s="12" t="s">
        <v>49</v>
      </c>
    </row>
    <row r="11" customFormat="false" ht="15" hidden="false" customHeight="false" outlineLevel="0" collapsed="false">
      <c r="A11" s="14" t="s">
        <v>50</v>
      </c>
      <c r="G11" s="15" t="n">
        <f aca="false">SUM(G3:G9)</f>
        <v>25.232</v>
      </c>
    </row>
    <row r="12" customFormat="false" ht="15" hidden="false" customHeight="false" outlineLevel="0" collapsed="false">
      <c r="A12" s="14" t="s">
        <v>51</v>
      </c>
      <c r="G12" s="15" t="n">
        <f aca="false">G11*12</f>
        <v>302.784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</cols>
  <sheetData>
    <row r="2" customFormat="false" ht="15" hidden="false" customHeight="false" outlineLevel="0" collapsed="false">
      <c r="A2" s="7" t="s">
        <v>52</v>
      </c>
      <c r="B2" s="7" t="s">
        <v>53</v>
      </c>
      <c r="C2" s="7" t="s">
        <v>54</v>
      </c>
      <c r="D2" s="7" t="s">
        <v>55</v>
      </c>
    </row>
    <row r="3" customFormat="false" ht="15" hidden="false" customHeight="false" outlineLevel="0" collapsed="false">
      <c r="A3" s="8" t="s">
        <v>56</v>
      </c>
      <c r="B3" s="11" t="n">
        <v>23.69</v>
      </c>
      <c r="C3" s="11" t="n">
        <v>0</v>
      </c>
      <c r="D3" s="11" t="n">
        <v>0</v>
      </c>
    </row>
    <row r="4" customFormat="false" ht="15" hidden="false" customHeight="false" outlineLevel="0" collapsed="false">
      <c r="A4" s="3" t="s">
        <v>57</v>
      </c>
      <c r="B4" s="11" t="n">
        <v>0.5</v>
      </c>
      <c r="C4" s="11" t="n">
        <v>0.5</v>
      </c>
      <c r="D4" s="11" t="n">
        <v>0.5</v>
      </c>
    </row>
    <row r="5" customFormat="false" ht="15" hidden="false" customHeight="false" outlineLevel="0" collapsed="false">
      <c r="A5" s="3" t="s">
        <v>58</v>
      </c>
      <c r="B5" s="11" t="n">
        <v>1.04</v>
      </c>
      <c r="C5" s="11" t="n">
        <v>1.04</v>
      </c>
      <c r="D5" s="11" t="n">
        <v>1.04</v>
      </c>
    </row>
    <row r="6" customFormat="false" ht="15" hidden="false" customHeight="false" outlineLevel="0" collapsed="false">
      <c r="A6" s="3" t="s">
        <v>59</v>
      </c>
      <c r="B6" s="11" t="n">
        <v>0</v>
      </c>
      <c r="C6" s="11" t="n">
        <v>0</v>
      </c>
      <c r="D6" s="11" t="n">
        <v>0</v>
      </c>
    </row>
    <row r="7" customFormat="false" ht="15" hidden="false" customHeight="false" outlineLevel="0" collapsed="false">
      <c r="A7" s="14" t="s">
        <v>50</v>
      </c>
      <c r="B7" s="16" t="n">
        <f aca="false">SUM(B3:B6)</f>
        <v>25.23</v>
      </c>
      <c r="C7" s="16" t="n">
        <f aca="false">SUM(C3:C6)</f>
        <v>1.54</v>
      </c>
      <c r="D7" s="16" t="n">
        <f aca="false">SUM(D3:D6)</f>
        <v>1.54</v>
      </c>
    </row>
    <row r="8" customFormat="false" ht="15" hidden="false" customHeight="false" outlineLevel="0" collapsed="false">
      <c r="A8" s="14" t="s">
        <v>51</v>
      </c>
      <c r="B8" s="16" t="n">
        <f aca="false">B7*12</f>
        <v>302.76</v>
      </c>
      <c r="C8" s="16" t="n">
        <f aca="false">C7*12</f>
        <v>18.48</v>
      </c>
      <c r="D8" s="16" t="n">
        <f aca="false">D7*12</f>
        <v>18.48</v>
      </c>
    </row>
    <row r="10" customFormat="false" ht="15" hidden="false" customHeight="false" outlineLevel="0" collapsed="false">
      <c r="A10" s="14" t="s">
        <v>60</v>
      </c>
    </row>
    <row r="11" customFormat="false" ht="15" hidden="false" customHeight="true" outlineLevel="0" collapsed="false">
      <c r="A11" s="6" t="s">
        <v>61</v>
      </c>
      <c r="B11" s="6"/>
      <c r="C11" s="6"/>
      <c r="D11" s="6"/>
    </row>
    <row r="12" customFormat="false" ht="15" hidden="false" customHeight="false" outlineLevel="0" collapsed="false">
      <c r="A12" s="6"/>
      <c r="B12" s="6"/>
      <c r="C12" s="6"/>
      <c r="D12" s="6"/>
    </row>
    <row r="13" customFormat="false" ht="15" hidden="false" customHeight="false" outlineLevel="0" collapsed="false">
      <c r="A13" s="6"/>
      <c r="B13" s="6"/>
      <c r="C13" s="6"/>
      <c r="D13" s="6"/>
    </row>
  </sheetData>
  <mergeCells count="1">
    <mergeCell ref="A11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2026-07-30T12:54:51Z</dcterms:created>
  <dc:creator>openpyxl</dc:creator>
  <dc:description/>
  <dc:language>en-US</dc:language>
  <cp:lastModifiedBy/>
  <dcterms:modified xsi:type="dcterms:W3CDTF">2026-07-30T12:54:51Z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